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nzhong/Documents/"/>
    </mc:Choice>
  </mc:AlternateContent>
  <xr:revisionPtr revIDLastSave="0" documentId="13_ncr:1_{EF1BBC44-FDEB-154E-92AF-D4D71B31A862}" xr6:coauthVersionLast="47" xr6:coauthVersionMax="47" xr10:uidLastSave="{00000000-0000-0000-0000-000000000000}"/>
  <bookViews>
    <workbookView xWindow="860" yWindow="2820" windowWidth="43280" windowHeight="25980" xr2:uid="{018DF93B-B64B-5249-9A93-D4157B4D96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H22" i="1"/>
  <c r="H20" i="1"/>
  <c r="H19" i="1"/>
  <c r="H18" i="1"/>
  <c r="H17" i="1"/>
  <c r="H16" i="1"/>
  <c r="H15" i="1"/>
  <c r="H14" i="1"/>
  <c r="H13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<sst xmlns="http://schemas.openxmlformats.org/spreadsheetml/2006/main" count="153" uniqueCount="61">
  <si>
    <t>类别</t>
    <phoneticPr fontId="2" type="noConversion"/>
  </si>
  <si>
    <t>型号 / 配置要求</t>
    <phoneticPr fontId="2" type="noConversion"/>
  </si>
  <si>
    <t>质保</t>
    <phoneticPr fontId="2" type="noConversion"/>
  </si>
  <si>
    <t>货期</t>
    <phoneticPr fontId="2" type="noConversion"/>
  </si>
  <si>
    <t>需求数量</t>
    <phoneticPr fontId="2" type="noConversion"/>
  </si>
  <si>
    <t>备件需求</t>
    <phoneticPr fontId="2" type="noConversion"/>
  </si>
  <si>
    <t>可用库存</t>
    <phoneticPr fontId="2" type="noConversion"/>
  </si>
  <si>
    <t>采购数量</t>
    <phoneticPr fontId="2" type="noConversion"/>
  </si>
  <si>
    <t>网络-防火墙</t>
    <phoneticPr fontId="2" type="noConversion"/>
  </si>
  <si>
    <t>Firewall Throughput &gt; 100Gbps, &gt;=6x 100Gb QSFP28，支持 NAT, QoS, IPSec VPN, SSL VPN(SSL VPN 账号 &gt; 100)，冗余电源，风扇满配，风向端口侧-&gt;电源侧，欧标电源线，山石网科 SG-6000-K6680-AD-CN</t>
    <phoneticPr fontId="2" type="noConversion"/>
  </si>
  <si>
    <t>3年</t>
    <phoneticPr fontId="2" type="noConversion"/>
  </si>
  <si>
    <t>PO+7</t>
    <phoneticPr fontId="2" type="noConversion"/>
  </si>
  <si>
    <t>网络-以太网交换机-100Gb-32口</t>
    <phoneticPr fontId="2" type="noConversion"/>
  </si>
  <si>
    <t>32x 100Gb QSFP28，冗余电源，风扇满配，风向端口侧-&gt;电源侧，欧标电源线，指定 H3C S9850-32H</t>
    <phoneticPr fontId="2" type="noConversion"/>
  </si>
  <si>
    <t>网络-以太网交换机-10Gb-48口</t>
    <phoneticPr fontId="2" type="noConversion"/>
  </si>
  <si>
    <t>48x 10Gb SFP+, 6x 100Gb QSFP28，冗余电源，风扇满配，风向端口侧-&gt;电源侧，欧标电源线，指定 H3C S6805-54HF</t>
    <phoneticPr fontId="2" type="noConversion"/>
  </si>
  <si>
    <t>网络-以太网交换机-1Gb-48口</t>
    <phoneticPr fontId="2" type="noConversion"/>
  </si>
  <si>
    <t>48x 1Gb RJ45, 4x 10Gb SFP+，冗余电源，风扇满配，风向端口侧-&gt;电源侧，欧标电源线</t>
    <phoneticPr fontId="2" type="noConversion"/>
  </si>
  <si>
    <t>/</t>
    <phoneticPr fontId="2" type="noConversion"/>
  </si>
  <si>
    <t>网络-光模块-以太网-100Gb-QSFP28-MPO-多模</t>
    <phoneticPr fontId="2" type="noConversion"/>
  </si>
  <si>
    <t>100Gb SR4 850nm MPO 100m，兼容 H3C S9850-32H</t>
    <phoneticPr fontId="2" type="noConversion"/>
  </si>
  <si>
    <t>网络-光模块-以太网-10Gb-SPF+-LC-单模</t>
    <phoneticPr fontId="2" type="noConversion"/>
  </si>
  <si>
    <t>10Gb SFP+ LR 1310nm LC 10km，兼容 H3C</t>
    <phoneticPr fontId="2" type="noConversion"/>
  </si>
  <si>
    <t>网络-光纤跳线-多模-OM3-MPO8/UPC-MPO8/UPC-低损</t>
    <phoneticPr fontId="2" type="noConversion"/>
  </si>
  <si>
    <t>OM3-MPO8/UPC-MPO8/UPC，低损，10m</t>
    <phoneticPr fontId="2" type="noConversion"/>
  </si>
  <si>
    <t>网络-光纤跳线-单模-OS2-LC-LC-低损</t>
    <phoneticPr fontId="2" type="noConversion"/>
  </si>
  <si>
    <t>OS2-LC/UPC-LC/UPC，低损，40m</t>
    <phoneticPr fontId="2" type="noConversion"/>
  </si>
  <si>
    <t>OS2-LC/UPC-LC/UPC，低损，10m</t>
    <phoneticPr fontId="2" type="noConversion"/>
  </si>
  <si>
    <t>网络-双绞线-六类-RJ45-RJ45</t>
    <phoneticPr fontId="2" type="noConversion"/>
  </si>
  <si>
    <t>六类双绞线，RJ45，20m</t>
    <phoneticPr fontId="2" type="noConversion"/>
  </si>
  <si>
    <t>网络-以太网交换机-100Gb-64口</t>
    <phoneticPr fontId="2" type="noConversion"/>
  </si>
  <si>
    <t>64x 100Gb QSFP28, 冗余电源，风扇满配，风向端口侧-&gt;电源侧，欧标电源线，星融元 CX564P-NT-AC</t>
    <phoneticPr fontId="2" type="noConversion"/>
  </si>
  <si>
    <t>32x 100Gb QSFP28, 冗余电源，风扇满配，风向端口侧-&gt;电源侧，欧标电源线，星融元 CX532P-N</t>
    <phoneticPr fontId="2" type="noConversion"/>
  </si>
  <si>
    <t>网络-以太网交换机-25Gb-48口</t>
    <phoneticPr fontId="2" type="noConversion"/>
  </si>
  <si>
    <t>48x 25Gb SFP28 + 8x 100Gb QSFP28，冗余电源，风扇满配，风向端口侧-&gt;电源侧，欧标电源线，星融元 CX308P-48Y-NF-AC</t>
    <phoneticPr fontId="2" type="noConversion"/>
  </si>
  <si>
    <t>网络-光模块-以太网-25Gb-SFP28-LC-多模</t>
    <phoneticPr fontId="2" type="noConversion"/>
  </si>
  <si>
    <t>25Gb SFP28 SR 850nm LC 70m@OM3/100m@OM4，网卡 CX4/CX5</t>
    <phoneticPr fontId="2" type="noConversion"/>
  </si>
  <si>
    <t>100Gb SR4 850nm MPO 100m</t>
    <phoneticPr fontId="2" type="noConversion"/>
  </si>
  <si>
    <t>网络-光纤跳线-多模-OM3-LC-LC-低损</t>
    <phoneticPr fontId="2" type="noConversion"/>
  </si>
  <si>
    <t>OM3-LC/UPC-LC/UPC，低损，20m</t>
    <phoneticPr fontId="2" type="noConversion"/>
  </si>
  <si>
    <t>OM3-MPO8/UPC-MPO8/UPC，低损，40m</t>
    <phoneticPr fontId="2" type="noConversion"/>
  </si>
  <si>
    <t>收货地</t>
    <phoneticPr fontId="2" type="noConversion"/>
  </si>
  <si>
    <t>备注</t>
    <phoneticPr fontId="2" type="noConversion"/>
  </si>
  <si>
    <t>询价供应商</t>
    <phoneticPr fontId="2" type="noConversion"/>
  </si>
  <si>
    <t>山东青岛</t>
    <phoneticPr fontId="2" type="noConversion"/>
  </si>
  <si>
    <t>H3C LS-S5130-54C-HI / LS-5560-54C-EI 利旧</t>
    <phoneticPr fontId="2" type="noConversion"/>
  </si>
  <si>
    <t>二手利旧</t>
    <phoneticPr fontId="2" type="noConversion"/>
  </si>
  <si>
    <t>山石网科</t>
    <phoneticPr fontId="2" type="noConversion"/>
  </si>
  <si>
    <t>新华三</t>
    <phoneticPr fontId="2" type="noConversion"/>
  </si>
  <si>
    <t>华云光电</t>
    <phoneticPr fontId="2" type="noConversion"/>
  </si>
  <si>
    <t>中科骏马</t>
    <phoneticPr fontId="2" type="noConversion"/>
  </si>
  <si>
    <t>-</t>
    <phoneticPr fontId="2" type="noConversion"/>
  </si>
  <si>
    <t>星融元</t>
    <phoneticPr fontId="2" type="noConversion"/>
  </si>
  <si>
    <t>用途</t>
    <phoneticPr fontId="2" type="noConversion"/>
  </si>
  <si>
    <t>青岛建设项目</t>
    <phoneticPr fontId="2" type="noConversion"/>
  </si>
  <si>
    <t>网络-以太网交换机-400Gb-64口</t>
    <phoneticPr fontId="2" type="noConversion"/>
  </si>
  <si>
    <t>和林格尔</t>
    <phoneticPr fontId="2" type="noConversion"/>
  </si>
  <si>
    <t>锐捷</t>
    <phoneticPr fontId="2" type="noConversion"/>
  </si>
  <si>
    <t>清华2号H100扩容</t>
    <phoneticPr fontId="2" type="noConversion"/>
  </si>
  <si>
    <t>64x 400Gb QSFP-DD，冗余电源，风扇满配，风向端口侧-&gt;电源侧，欧标电源线，指定锐捷RG-S6980-64QC</t>
    <phoneticPr fontId="2" type="noConversion"/>
  </si>
  <si>
    <t>六类双绞线，RJ45，10m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</si>
</sst>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4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3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3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3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>
      <alignment vertical="center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98373-6410-1B4C-A961-764BBEE384C6}">
  <dimension ref="A1:L22"/>
  <sheetViews>
    <sheetView tabSelected="1" zoomScale="150" workbookViewId="0">
      <selection activeCell="E10" sqref="E10"/>
    </sheetView>
  </sheetViews>
  <sheetFormatPr baseColWidth="10" defaultRowHeight="16"/>
  <cols>
    <col min="1" max="1" width="56.6640625" bestFit="1" customWidth="1"/>
    <col min="2" max="2" width="62.5" customWidth="1"/>
    <col min="4" max="9" width="10.83203125" style="18"/>
    <col min="10" max="10" width="45.5" style="18" bestFit="1" customWidth="1"/>
    <col min="11" max="11" width="18.1640625" style="18" bestFit="1" customWidth="1"/>
    <col min="12" max="12" width="10.83203125" style="18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41</v>
      </c>
      <c r="J1" s="1" t="s">
        <v>42</v>
      </c>
      <c r="K1" s="1" t="s">
        <v>53</v>
      </c>
      <c r="L1" s="1" t="s">
        <v>43</v>
      </c>
    </row>
    <row r="2" spans="1:12" ht="51">
      <c r="A2" s="2" t="s">
        <v>8</v>
      </c>
      <c r="B2" s="3" t="s">
        <v>9</v>
      </c>
      <c r="C2" s="4" t="s">
        <v>10</v>
      </c>
      <c r="D2" s="5" t="s">
        <v>11</v>
      </c>
      <c r="E2" s="6">
        <v>2</v>
      </c>
      <c r="F2" s="6">
        <v>0</v>
      </c>
      <c r="G2" s="6">
        <v>0</v>
      </c>
      <c r="H2" s="5">
        <f t="shared" ref="H2:H11" si="0">E2+F2-G2</f>
        <v>2</v>
      </c>
      <c r="I2" s="6" t="s">
        <v>44</v>
      </c>
      <c r="J2" s="6"/>
      <c r="K2" s="6" t="s">
        <v>54</v>
      </c>
      <c r="L2" s="6" t="s">
        <v>47</v>
      </c>
    </row>
    <row r="3" spans="1:12" ht="34">
      <c r="A3" s="2" t="s">
        <v>12</v>
      </c>
      <c r="B3" s="3" t="s">
        <v>13</v>
      </c>
      <c r="C3" s="4" t="s">
        <v>10</v>
      </c>
      <c r="D3" s="5" t="s">
        <v>11</v>
      </c>
      <c r="E3" s="6">
        <v>2</v>
      </c>
      <c r="F3" s="6">
        <v>0</v>
      </c>
      <c r="G3" s="6">
        <v>0</v>
      </c>
      <c r="H3" s="5">
        <f t="shared" si="0"/>
        <v>2</v>
      </c>
      <c r="I3" s="6" t="s">
        <v>44</v>
      </c>
      <c r="J3" s="6"/>
      <c r="K3" s="6" t="s">
        <v>54</v>
      </c>
      <c r="L3" s="6" t="s">
        <v>48</v>
      </c>
    </row>
    <row r="4" spans="1:12" ht="34">
      <c r="A4" s="2" t="s">
        <v>14</v>
      </c>
      <c r="B4" s="3" t="s">
        <v>15</v>
      </c>
      <c r="C4" s="4" t="s">
        <v>10</v>
      </c>
      <c r="D4" s="5" t="s">
        <v>11</v>
      </c>
      <c r="E4" s="6">
        <v>6</v>
      </c>
      <c r="F4" s="6">
        <v>0</v>
      </c>
      <c r="G4" s="6">
        <v>0</v>
      </c>
      <c r="H4" s="5">
        <f>E4+F4-G4</f>
        <v>6</v>
      </c>
      <c r="I4" s="6" t="s">
        <v>44</v>
      </c>
      <c r="J4" s="6"/>
      <c r="K4" s="6" t="s">
        <v>54</v>
      </c>
      <c r="L4" s="6" t="s">
        <v>48</v>
      </c>
    </row>
    <row r="5" spans="1:12" ht="34">
      <c r="A5" s="2" t="s">
        <v>16</v>
      </c>
      <c r="B5" s="3" t="s">
        <v>17</v>
      </c>
      <c r="C5" s="4" t="s">
        <v>18</v>
      </c>
      <c r="D5" s="5" t="s">
        <v>11</v>
      </c>
      <c r="E5" s="6">
        <v>4</v>
      </c>
      <c r="F5" s="6">
        <v>2</v>
      </c>
      <c r="G5" s="6">
        <v>0</v>
      </c>
      <c r="H5" s="5">
        <f t="shared" si="0"/>
        <v>6</v>
      </c>
      <c r="I5" s="6" t="s">
        <v>44</v>
      </c>
      <c r="J5" s="6" t="s">
        <v>45</v>
      </c>
      <c r="K5" s="6" t="s">
        <v>54</v>
      </c>
      <c r="L5" s="6" t="s">
        <v>46</v>
      </c>
    </row>
    <row r="6" spans="1:12" ht="17">
      <c r="A6" s="7" t="s">
        <v>19</v>
      </c>
      <c r="B6" s="8" t="s">
        <v>20</v>
      </c>
      <c r="C6" s="9" t="s">
        <v>18</v>
      </c>
      <c r="D6" s="10" t="s">
        <v>11</v>
      </c>
      <c r="E6" s="11">
        <v>128</v>
      </c>
      <c r="F6" s="11">
        <v>0</v>
      </c>
      <c r="G6" s="11">
        <v>0</v>
      </c>
      <c r="H6" s="10">
        <f t="shared" si="0"/>
        <v>128</v>
      </c>
      <c r="I6" s="11" t="s">
        <v>44</v>
      </c>
      <c r="J6" s="11"/>
      <c r="K6" s="11" t="s">
        <v>54</v>
      </c>
      <c r="L6" s="11" t="s">
        <v>49</v>
      </c>
    </row>
    <row r="7" spans="1:12" ht="17">
      <c r="A7" s="7" t="s">
        <v>21</v>
      </c>
      <c r="B7" s="8" t="s">
        <v>22</v>
      </c>
      <c r="C7" s="9" t="s">
        <v>18</v>
      </c>
      <c r="D7" s="10" t="s">
        <v>11</v>
      </c>
      <c r="E7" s="11">
        <v>128</v>
      </c>
      <c r="F7" s="11">
        <v>0</v>
      </c>
      <c r="G7" s="11">
        <v>0</v>
      </c>
      <c r="H7" s="10">
        <f t="shared" si="0"/>
        <v>128</v>
      </c>
      <c r="I7" s="11" t="s">
        <v>44</v>
      </c>
      <c r="J7" s="11"/>
      <c r="K7" s="11" t="s">
        <v>54</v>
      </c>
      <c r="L7" s="11" t="s">
        <v>49</v>
      </c>
    </row>
    <row r="8" spans="1:12" ht="17">
      <c r="A8" s="12" t="s">
        <v>23</v>
      </c>
      <c r="B8" s="13" t="s">
        <v>24</v>
      </c>
      <c r="C8" s="14" t="s">
        <v>18</v>
      </c>
      <c r="D8" s="15" t="s">
        <v>11</v>
      </c>
      <c r="E8" s="16">
        <v>64</v>
      </c>
      <c r="F8" s="16">
        <v>0</v>
      </c>
      <c r="G8" s="16">
        <v>0</v>
      </c>
      <c r="H8" s="15">
        <f t="shared" si="0"/>
        <v>64</v>
      </c>
      <c r="I8" s="16" t="s">
        <v>44</v>
      </c>
      <c r="J8" s="16"/>
      <c r="K8" s="16" t="s">
        <v>54</v>
      </c>
      <c r="L8" s="16" t="s">
        <v>50</v>
      </c>
    </row>
    <row r="9" spans="1:12" ht="17">
      <c r="A9" s="12" t="s">
        <v>25</v>
      </c>
      <c r="B9" s="13" t="s">
        <v>26</v>
      </c>
      <c r="C9" s="14" t="s">
        <v>18</v>
      </c>
      <c r="D9" s="15" t="s">
        <v>11</v>
      </c>
      <c r="E9" s="16">
        <v>64</v>
      </c>
      <c r="F9" s="16">
        <v>0</v>
      </c>
      <c r="G9" s="16">
        <v>0</v>
      </c>
      <c r="H9" s="15">
        <f t="shared" si="0"/>
        <v>64</v>
      </c>
      <c r="I9" s="16" t="s">
        <v>44</v>
      </c>
      <c r="J9" s="16"/>
      <c r="K9" s="16" t="s">
        <v>54</v>
      </c>
      <c r="L9" s="16" t="s">
        <v>50</v>
      </c>
    </row>
    <row r="10" spans="1:12" ht="17">
      <c r="A10" s="12" t="s">
        <v>25</v>
      </c>
      <c r="B10" s="13" t="s">
        <v>27</v>
      </c>
      <c r="C10" s="14" t="s">
        <v>18</v>
      </c>
      <c r="D10" s="15" t="s">
        <v>11</v>
      </c>
      <c r="E10" s="16">
        <v>48</v>
      </c>
      <c r="F10" s="16">
        <v>0</v>
      </c>
      <c r="G10" s="16">
        <v>0</v>
      </c>
      <c r="H10" s="15">
        <f t="shared" si="0"/>
        <v>48</v>
      </c>
      <c r="I10" s="16" t="s">
        <v>44</v>
      </c>
      <c r="J10" s="16"/>
      <c r="K10" s="16" t="s">
        <v>54</v>
      </c>
      <c r="L10" s="16" t="s">
        <v>50</v>
      </c>
    </row>
    <row r="11" spans="1:12" ht="17">
      <c r="A11" s="12" t="s">
        <v>28</v>
      </c>
      <c r="B11" s="13" t="s">
        <v>29</v>
      </c>
      <c r="C11" s="14" t="s">
        <v>18</v>
      </c>
      <c r="D11" s="15" t="s">
        <v>11</v>
      </c>
      <c r="E11" s="16">
        <v>144</v>
      </c>
      <c r="F11" s="16">
        <v>0</v>
      </c>
      <c r="G11" s="16">
        <v>0</v>
      </c>
      <c r="H11" s="15">
        <f t="shared" si="0"/>
        <v>144</v>
      </c>
      <c r="I11" s="16" t="s">
        <v>44</v>
      </c>
      <c r="J11" s="16"/>
      <c r="K11" s="16" t="s">
        <v>54</v>
      </c>
      <c r="L11" s="16" t="s">
        <v>51</v>
      </c>
    </row>
    <row r="12" spans="1:12" ht="17">
      <c r="A12" s="12" t="s">
        <v>28</v>
      </c>
      <c r="B12" s="13" t="s">
        <v>60</v>
      </c>
      <c r="C12" s="14" t="s">
        <v>18</v>
      </c>
      <c r="D12" s="15" t="s">
        <v>11</v>
      </c>
      <c r="E12" s="16">
        <v>144</v>
      </c>
      <c r="F12" s="16">
        <v>0</v>
      </c>
      <c r="G12" s="16">
        <v>0</v>
      </c>
      <c r="H12" s="15">
        <f t="shared" ref="H12" si="1">E12+F12-G12</f>
        <v>144</v>
      </c>
      <c r="I12" s="16" t="s">
        <v>44</v>
      </c>
      <c r="J12" s="16"/>
      <c r="K12" s="16" t="s">
        <v>54</v>
      </c>
      <c r="L12" s="16" t="s">
        <v>51</v>
      </c>
    </row>
    <row r="13" spans="1:12" ht="34">
      <c r="A13" s="2" t="s">
        <v>30</v>
      </c>
      <c r="B13" s="17" t="s">
        <v>31</v>
      </c>
      <c r="C13" s="5" t="s">
        <v>10</v>
      </c>
      <c r="D13" s="5" t="s">
        <v>11</v>
      </c>
      <c r="E13" s="5">
        <v>4</v>
      </c>
      <c r="F13" s="5">
        <v>0</v>
      </c>
      <c r="G13" s="5">
        <v>0</v>
      </c>
      <c r="H13" s="5">
        <f t="shared" ref="H13:H17" si="2">E13+F13-G13</f>
        <v>4</v>
      </c>
      <c r="I13" s="6" t="s">
        <v>44</v>
      </c>
      <c r="J13" s="6"/>
      <c r="K13" s="6" t="s">
        <v>54</v>
      </c>
      <c r="L13" s="6" t="s">
        <v>52</v>
      </c>
    </row>
    <row r="14" spans="1:12" ht="34">
      <c r="A14" s="2" t="s">
        <v>12</v>
      </c>
      <c r="B14" s="17" t="s">
        <v>32</v>
      </c>
      <c r="C14" s="5" t="s">
        <v>10</v>
      </c>
      <c r="D14" s="5" t="s">
        <v>11</v>
      </c>
      <c r="E14" s="5">
        <v>4</v>
      </c>
      <c r="F14" s="5">
        <v>0</v>
      </c>
      <c r="G14" s="5">
        <v>0</v>
      </c>
      <c r="H14" s="5">
        <f t="shared" si="2"/>
        <v>4</v>
      </c>
      <c r="I14" s="6" t="s">
        <v>44</v>
      </c>
      <c r="J14" s="6"/>
      <c r="K14" s="6" t="s">
        <v>54</v>
      </c>
      <c r="L14" s="6" t="s">
        <v>52</v>
      </c>
    </row>
    <row r="15" spans="1:12" ht="34">
      <c r="A15" s="2" t="s">
        <v>33</v>
      </c>
      <c r="B15" s="3" t="s">
        <v>34</v>
      </c>
      <c r="C15" s="4" t="s">
        <v>10</v>
      </c>
      <c r="D15" s="5" t="s">
        <v>11</v>
      </c>
      <c r="E15" s="6">
        <v>8</v>
      </c>
      <c r="F15" s="6">
        <v>0</v>
      </c>
      <c r="G15" s="6">
        <v>0</v>
      </c>
      <c r="H15" s="5">
        <f t="shared" si="2"/>
        <v>8</v>
      </c>
      <c r="I15" s="6" t="s">
        <v>44</v>
      </c>
      <c r="J15" s="6"/>
      <c r="K15" s="6" t="s">
        <v>54</v>
      </c>
      <c r="L15" s="6" t="s">
        <v>52</v>
      </c>
    </row>
    <row r="16" spans="1:12" ht="17">
      <c r="A16" s="7" t="s">
        <v>35</v>
      </c>
      <c r="B16" s="8" t="s">
        <v>36</v>
      </c>
      <c r="C16" s="9" t="s">
        <v>18</v>
      </c>
      <c r="D16" s="10" t="s">
        <v>11</v>
      </c>
      <c r="E16" s="11">
        <v>768</v>
      </c>
      <c r="F16" s="11">
        <v>0</v>
      </c>
      <c r="G16" s="11">
        <v>0</v>
      </c>
      <c r="H16" s="10">
        <f t="shared" si="2"/>
        <v>768</v>
      </c>
      <c r="I16" s="11" t="s">
        <v>44</v>
      </c>
      <c r="J16" s="11"/>
      <c r="K16" s="11" t="s">
        <v>54</v>
      </c>
      <c r="L16" s="11" t="s">
        <v>49</v>
      </c>
    </row>
    <row r="17" spans="1:12" ht="17">
      <c r="A17" s="7" t="s">
        <v>19</v>
      </c>
      <c r="B17" s="8" t="s">
        <v>37</v>
      </c>
      <c r="C17" s="9" t="s">
        <v>18</v>
      </c>
      <c r="D17" s="10" t="s">
        <v>11</v>
      </c>
      <c r="E17" s="11">
        <v>128</v>
      </c>
      <c r="F17" s="11">
        <v>0</v>
      </c>
      <c r="G17" s="11">
        <v>0</v>
      </c>
      <c r="H17" s="10">
        <f t="shared" si="2"/>
        <v>128</v>
      </c>
      <c r="I17" s="11" t="s">
        <v>44</v>
      </c>
      <c r="J17" s="11"/>
      <c r="K17" s="11" t="s">
        <v>54</v>
      </c>
      <c r="L17" s="11" t="s">
        <v>49</v>
      </c>
    </row>
    <row r="18" spans="1:12" ht="17">
      <c r="A18" s="12" t="s">
        <v>38</v>
      </c>
      <c r="B18" s="13" t="s">
        <v>39</v>
      </c>
      <c r="C18" s="14" t="s">
        <v>18</v>
      </c>
      <c r="D18" s="15" t="s">
        <v>11</v>
      </c>
      <c r="E18" s="16">
        <v>384</v>
      </c>
      <c r="F18" s="16">
        <v>0</v>
      </c>
      <c r="G18" s="16">
        <v>0</v>
      </c>
      <c r="H18" s="15">
        <f>E18+F18-G18</f>
        <v>384</v>
      </c>
      <c r="I18" s="16" t="s">
        <v>44</v>
      </c>
      <c r="J18" s="16"/>
      <c r="K18" s="16" t="s">
        <v>54</v>
      </c>
      <c r="L18" s="16" t="s">
        <v>50</v>
      </c>
    </row>
    <row r="19" spans="1:12" ht="17">
      <c r="A19" s="12" t="s">
        <v>23</v>
      </c>
      <c r="B19" s="13" t="s">
        <v>40</v>
      </c>
      <c r="C19" s="14" t="s">
        <v>18</v>
      </c>
      <c r="D19" s="15" t="s">
        <v>11</v>
      </c>
      <c r="E19" s="16">
        <v>64</v>
      </c>
      <c r="F19" s="16">
        <v>0</v>
      </c>
      <c r="G19" s="16">
        <v>0</v>
      </c>
      <c r="H19" s="15">
        <f t="shared" ref="H19:H22" si="3">E19+F19-G19</f>
        <v>64</v>
      </c>
      <c r="I19" s="16" t="s">
        <v>44</v>
      </c>
      <c r="J19" s="16"/>
      <c r="K19" s="16" t="s">
        <v>54</v>
      </c>
      <c r="L19" s="16" t="s">
        <v>50</v>
      </c>
    </row>
    <row r="20" spans="1:12" ht="17">
      <c r="A20" s="12" t="s">
        <v>23</v>
      </c>
      <c r="B20" s="13" t="s">
        <v>24</v>
      </c>
      <c r="C20" s="14" t="s">
        <v>18</v>
      </c>
      <c r="D20" s="15" t="s">
        <v>11</v>
      </c>
      <c r="E20" s="16">
        <v>24</v>
      </c>
      <c r="F20" s="16">
        <v>24</v>
      </c>
      <c r="G20" s="16">
        <v>0</v>
      </c>
      <c r="H20" s="15">
        <f t="shared" si="3"/>
        <v>48</v>
      </c>
      <c r="I20" s="16" t="s">
        <v>44</v>
      </c>
      <c r="J20" s="16"/>
      <c r="K20" s="16" t="s">
        <v>54</v>
      </c>
      <c r="L20" s="16" t="s">
        <v>50</v>
      </c>
    </row>
    <row r="21" spans="1:12">
      <c r="A21" s="20"/>
      <c r="B21" s="21"/>
      <c r="C21" s="22"/>
      <c r="D21" s="1"/>
      <c r="E21" s="23"/>
      <c r="F21" s="23"/>
      <c r="G21" s="23"/>
      <c r="H21" s="1"/>
      <c r="I21" s="23"/>
      <c r="J21" s="23"/>
      <c r="K21" s="23"/>
      <c r="L21" s="23"/>
    </row>
    <row r="22" spans="1:12" ht="34">
      <c r="A22" s="2" t="s">
        <v>55</v>
      </c>
      <c r="B22" s="19" t="s">
        <v>59</v>
      </c>
      <c r="C22" s="6" t="s">
        <v>10</v>
      </c>
      <c r="D22" s="6" t="s">
        <v>11</v>
      </c>
      <c r="E22" s="6">
        <v>2</v>
      </c>
      <c r="F22" s="6">
        <v>0</v>
      </c>
      <c r="G22" s="6">
        <v>0</v>
      </c>
      <c r="H22" s="6">
        <f t="shared" si="3"/>
        <v>2</v>
      </c>
      <c r="I22" s="6" t="s">
        <v>56</v>
      </c>
      <c r="J22" s="6"/>
      <c r="K22" s="6" t="s">
        <v>58</v>
      </c>
      <c r="L22" s="6" t="s">
        <v>57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 陈</dc:creator>
  <cp:lastModifiedBy>钟 陈</cp:lastModifiedBy>
  <dcterms:created xsi:type="dcterms:W3CDTF">2025-09-08T06:33:06Z</dcterms:created>
  <dcterms:modified xsi:type="dcterms:W3CDTF">2025-10-16T07:58:39Z</dcterms:modified>
</cp:coreProperties>
</file>